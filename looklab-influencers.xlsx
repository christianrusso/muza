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os" sheetId="1" state="visible" r:id="rId3"/>
    <sheet name="Resumen" sheetId="2" state="visible" r:id="rId4"/>
    <sheet name="DMs listos (primeros 10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<sst xmlns="http://schemas.openxmlformats.org/spreadsheetml/2006/main" count="399" uniqueCount="193">
  <si>
    <t xml:space="preserve">LookLab — Candidatos a micro-influencers (canje)</t>
  </si>
  <si>
    <t xml:space="preserve">Roadmap Sprint 1: armar lista de 30 (moda/lifestyle, 5k-50k, Argentina/LATAM) y mandar los primeros 10 DMs de canje. Los seguidores son estimaciones de búsqueda web (jul 2026) — verificar en Instagram antes de escribir, pueden estar desactualizados.</t>
  </si>
  <si>
    <t xml:space="preserve">#</t>
  </si>
  <si>
    <t xml:space="preserve">Nombre</t>
  </si>
  <si>
    <t xml:space="preserve">Usuario / Handle</t>
  </si>
  <si>
    <t xml:space="preserve">Plataforma</t>
  </si>
  <si>
    <t xml:space="preserve">Ciudad</t>
  </si>
  <si>
    <t xml:space="preserve">Nicho</t>
  </si>
  <si>
    <t xml:space="preserve">Seguidores aprox.</t>
  </si>
  <si>
    <t xml:space="preserve">Confianza del dato</t>
  </si>
  <si>
    <t xml:space="preserve">Oferta propuesta</t>
  </si>
  <si>
    <t xml:space="preserve">Estado</t>
  </si>
  <si>
    <t xml:space="preserve">Fecha de contacto</t>
  </si>
  <si>
    <t xml:space="preserve">Código de seguimiento</t>
  </si>
  <si>
    <t xml:space="preserve">Fuente / Notas</t>
  </si>
  <si>
    <t xml:space="preserve">Karina Lette</t>
  </si>
  <si>
    <t xml:space="preserve">@klette_asesoramiento</t>
  </si>
  <si>
    <t xml:space="preserve">Instagram</t>
  </si>
  <si>
    <t xml:space="preserve">Pergamino (BA)</t>
  </si>
  <si>
    <t xml:space="preserve">Asesora de imagen / personal shopper</t>
  </si>
  <si>
    <t xml:space="preserve">Alta</t>
  </si>
  <si>
    <t xml:space="preserve">Canje: Pro gratis de por vida + contenido co-creado</t>
  </si>
  <si>
    <t xml:space="preserve">DM lista para enviar</t>
  </si>
  <si>
    <t xml:space="preserve">LL-INF-01</t>
  </si>
  <si>
    <t xml:space="preserve">Búsqueda directa IG (bio confirma seguidores)</t>
  </si>
  <si>
    <t xml:space="preserve">Leticia Sastre</t>
  </si>
  <si>
    <t xml:space="preserve">@tupersonalshopperls</t>
  </si>
  <si>
    <t xml:space="preserve">Buenos Aires</t>
  </si>
  <si>
    <t xml:space="preserve">Personal shopper / asesoría de imagen</t>
  </si>
  <si>
    <t xml:space="preserve">LL-INF-02</t>
  </si>
  <si>
    <t xml:space="preserve">Búsqueda directa IG — apenas arriba del rango, evaluar</t>
  </si>
  <si>
    <t xml:space="preserve">Arianna Gómez</t>
  </si>
  <si>
    <t xml:space="preserve">@_ariannagomez</t>
  </si>
  <si>
    <t xml:space="preserve">Content creator / estilista</t>
  </si>
  <si>
    <t xml:space="preserve">LL-INF-03</t>
  </si>
  <si>
    <t xml:space="preserve">Búsqueda directa IG</t>
  </si>
  <si>
    <t xml:space="preserve">Micaela Yela (Mica Elayela)</t>
  </si>
  <si>
    <t xml:space="preserve">@micaelayela</t>
  </si>
  <si>
    <t xml:space="preserve">Content creator, modelo y estilista</t>
  </si>
  <si>
    <t xml:space="preserve">LL-INF-04</t>
  </si>
  <si>
    <t xml:space="preserve">Luna Dean</t>
  </si>
  <si>
    <t xml:space="preserve">@lunadean_</t>
  </si>
  <si>
    <t xml:space="preserve">Fashion content creator</t>
  </si>
  <si>
    <t xml:space="preserve">Media</t>
  </si>
  <si>
    <t xml:space="preserve">LL-INF-05</t>
  </si>
  <si>
    <t xml:space="preserve">Agregador — verificar handle exacto y seguidores</t>
  </si>
  <si>
    <t xml:space="preserve">Julieta Ibáñez</t>
  </si>
  <si>
    <t xml:space="preserve">@julietaibanez_</t>
  </si>
  <si>
    <t xml:space="preserve">Styling y marketing de contenido</t>
  </si>
  <si>
    <t xml:space="preserve">LL-INF-06</t>
  </si>
  <si>
    <t xml:space="preserve">Agregador (nano) — buen perfil para canje inicial</t>
  </si>
  <si>
    <t xml:space="preserve">Classy and Toxique</t>
  </si>
  <si>
    <t xml:space="preserve">@classyandtoxique</t>
  </si>
  <si>
    <t xml:space="preserve">Estilo, maternidad, lifestyle</t>
  </si>
  <si>
    <t xml:space="preserve">LL-INF-07</t>
  </si>
  <si>
    <t xml:space="preserve">Agregador (nano) — confirmar handle</t>
  </si>
  <si>
    <t xml:space="preserve">Mariana Päraway</t>
  </si>
  <si>
    <t xml:space="preserve">@blancanievesdelparaway</t>
  </si>
  <si>
    <t xml:space="preserve">Mendoza</t>
  </si>
  <si>
    <t xml:space="preserve">Outfits diarios y styling</t>
  </si>
  <si>
    <t xml:space="preserve">LL-INF-08</t>
  </si>
  <si>
    <t xml:space="preserve">Nota de prensa (Unidiversidad) — verificar handle actual</t>
  </si>
  <si>
    <t xml:space="preserve">Agostina Schmidt</t>
  </si>
  <si>
    <t xml:space="preserve">(verificar @ en IG)</t>
  </si>
  <si>
    <t xml:space="preserve">Córdoba</t>
  </si>
  <si>
    <t xml:space="preserve">Fashion producer &amp; stylist</t>
  </si>
  <si>
    <t xml:space="preserve">LL-INF-09</t>
  </si>
  <si>
    <t xml:space="preserve">Listado agregador (Modash/Favikon) — sin handle directo confirmado</t>
  </si>
  <si>
    <t xml:space="preserve">Tomás Nehuén</t>
  </si>
  <si>
    <t xml:space="preserve">Wardrobe stylist / archivo editorial</t>
  </si>
  <si>
    <t xml:space="preserve">LL-INF-10</t>
  </si>
  <si>
    <t xml:space="preserve">Listado agregador — sin handle directo confirmado</t>
  </si>
  <si>
    <t xml:space="preserve">AMSOAR — Moda Sostenible Argentina</t>
  </si>
  <si>
    <t xml:space="preserve">@modasostenibleargentina</t>
  </si>
  <si>
    <t xml:space="preserve">Argentina (nacional)</t>
  </si>
  <si>
    <t xml:space="preserve">Moda sostenible / consciente</t>
  </si>
  <si>
    <t xml:space="preserve">Por contactar</t>
  </si>
  <si>
    <t xml:space="preserve">LL-INF-11</t>
  </si>
  <si>
    <t xml:space="preserve">Búsqueda directa IG — cuenta de asociación, no personal</t>
  </si>
  <si>
    <t xml:space="preserve">Mytick Curvy</t>
  </si>
  <si>
    <t xml:space="preserve">@mytick_curvy</t>
  </si>
  <si>
    <t xml:space="preserve">Talles grandes / curvy</t>
  </si>
  <si>
    <t xml:space="preserve">LL-INF-12</t>
  </si>
  <si>
    <t xml:space="preserve">Búsqueda directa IG — por encima del rango, marca+contenido</t>
  </si>
  <si>
    <t xml:space="preserve">Marian Petraca</t>
  </si>
  <si>
    <t xml:space="preserve">Argentina</t>
  </si>
  <si>
    <t xml:space="preserve">Moda y belleza (ex Cuestión de Peso)</t>
  </si>
  <si>
    <t xml:space="preserve">LL-INF-13</t>
  </si>
  <si>
    <t xml:space="preserve">Nota de prensa — sin handle directo confirmado</t>
  </si>
  <si>
    <t xml:space="preserve">Milagros Adobatto (Milu Ad)</t>
  </si>
  <si>
    <t xml:space="preserve">(verificar @ en TikTok/IG)</t>
  </si>
  <si>
    <t xml:space="preserve">TikTok</t>
  </si>
  <si>
    <t xml:space="preserve">GRWM / OOTD</t>
  </si>
  <si>
    <t xml:space="preserve">verificar</t>
  </si>
  <si>
    <t xml:space="preserve">Baja</t>
  </si>
  <si>
    <t xml:space="preserve">LL-INF-14</t>
  </si>
  <si>
    <t xml:space="preserve">Mencionada en agregador de TikTok, sin seguidores ni handle confirmado</t>
  </si>
  <si>
    <t xml:space="preserve">Avi Rodriguez</t>
  </si>
  <si>
    <t xml:space="preserve">Beauty, lifestyle y moda</t>
  </si>
  <si>
    <t xml:space="preserve">LL-INF-15</t>
  </si>
  <si>
    <t xml:space="preserve">Morena</t>
  </si>
  <si>
    <t xml:space="preserve">Hair care, skincare y moda (trabaja con Fashion Nova)</t>
  </si>
  <si>
    <t xml:space="preserve">LL-INF-16</t>
  </si>
  <si>
    <t xml:space="preserve">@vickymezquita</t>
  </si>
  <si>
    <t xml:space="preserve">Estilo (estética "Blair Waldorf")</t>
  </si>
  <si>
    <t xml:space="preserve">LL-INF-17</t>
  </si>
  <si>
    <t xml:space="preserve">Mencionada en agregador de TikTok, sin seguidores confirmados</t>
  </si>
  <si>
    <t xml:space="preserve">@argademeghanco</t>
  </si>
  <si>
    <t xml:space="preserve">Estilo (estética "Portuguese Girlie")</t>
  </si>
  <si>
    <t xml:space="preserve">LL-INF-18</t>
  </si>
  <si>
    <t xml:space="preserve">@nanirepetto</t>
  </si>
  <si>
    <t xml:space="preserve">Estilo boho</t>
  </si>
  <si>
    <t xml:space="preserve">LL-INF-19</t>
  </si>
  <si>
    <t xml:space="preserve">@valen.ormachea</t>
  </si>
  <si>
    <t xml:space="preserve">LL-INF-20</t>
  </si>
  <si>
    <t xml:space="preserve">@francinschwert</t>
  </si>
  <si>
    <t xml:space="preserve">Estilo romántico</t>
  </si>
  <si>
    <t xml:space="preserve">LL-INF-21</t>
  </si>
  <si>
    <t xml:space="preserve">Furia Sneakers (arg)</t>
  </si>
  <si>
    <t xml:space="preserve">@furiasnkrs</t>
  </si>
  <si>
    <t xml:space="preserve">Sneakers y moda urbana</t>
  </si>
  <si>
    <t xml:space="preserve">LL-INF-22</t>
  </si>
  <si>
    <t xml:space="preserve">TRY ME Mar del Plata</t>
  </si>
  <si>
    <t xml:space="preserve">@trymemardelplata</t>
  </si>
  <si>
    <t xml:space="preserve">Mar del Plata</t>
  </si>
  <si>
    <t xml:space="preserve">Moda femenina (tienda con contenido de outfits)</t>
  </si>
  <si>
    <t xml:space="preserve">LL-INF-23</t>
  </si>
  <si>
    <t xml:space="preserve">Maison Aubele (Carolina Aubele)</t>
  </si>
  <si>
    <t xml:space="preserve">@maisonaubele</t>
  </si>
  <si>
    <t xml:space="preserve">Asesoramiento de imagen y colorimetría</t>
  </si>
  <si>
    <t xml:space="preserve">LL-INF-24</t>
  </si>
  <si>
    <t xml:space="preserve">Estefanía Moreno (Colorai)</t>
  </si>
  <si>
    <t xml:space="preserve">@colorai_</t>
  </si>
  <si>
    <t xml:space="preserve">Colorimetría / análisis de color</t>
  </si>
  <si>
    <t xml:space="preserve">LL-INF-25</t>
  </si>
  <si>
    <t xml:space="preserve">Ginnamag</t>
  </si>
  <si>
    <t xml:space="preserve">@ginnamag</t>
  </si>
  <si>
    <t xml:space="preserve">Moda y novias (fashion &amp; brides) — buen match con ocasión Casamiento</t>
  </si>
  <si>
    <t xml:space="preserve">LL-INF-26</t>
  </si>
  <si>
    <t xml:space="preserve">JUV Activewear</t>
  </si>
  <si>
    <t xml:space="preserve">@juvargentina</t>
  </si>
  <si>
    <t xml:space="preserve">Ropa deportiva / athleisure — buen match con ocasión Gimnasio</t>
  </si>
  <si>
    <t xml:space="preserve">LL-INF-27</t>
  </si>
  <si>
    <t xml:space="preserve">Zapatillas y Moda Urbana</t>
  </si>
  <si>
    <t xml:space="preserve">@micalzadook</t>
  </si>
  <si>
    <t xml:space="preserve">LL-INF-28</t>
  </si>
  <si>
    <t xml:space="preserve">Búsqueda directa IG — sin conteo de seguidores confirmado</t>
  </si>
  <si>
    <t xml:space="preserve">Lyar Moda Casual</t>
  </si>
  <si>
    <t xml:space="preserve">@lyarcuerna</t>
  </si>
  <si>
    <t xml:space="preserve">Moda casual</t>
  </si>
  <si>
    <t xml:space="preserve">LL-INF-29</t>
  </si>
  <si>
    <t xml:space="preserve">Moda Deportiva (Depor Joyas)</t>
  </si>
  <si>
    <t xml:space="preserve">@depor.joyas</t>
  </si>
  <si>
    <t xml:space="preserve">Moda deportiva y joyas — buen match con ocasión Gimnasio</t>
  </si>
  <si>
    <t xml:space="preserve">LL-INF-30</t>
  </si>
  <si>
    <t xml:space="preserve">Rocío Vazquez (Sereinne)</t>
  </si>
  <si>
    <t xml:space="preserve">@sereinne_</t>
  </si>
  <si>
    <t xml:space="preserve">Moda / it-girl — verificar si sigue en rango micro</t>
  </si>
  <si>
    <t xml:space="preserve">LL-INF-31</t>
  </si>
  <si>
    <t xml:space="preserve">Mencionada como referente de moda — verificar seguidores, puede ser macro</t>
  </si>
  <si>
    <t xml:space="preserve">Le Voyage Blog</t>
  </si>
  <si>
    <t xml:space="preserve">@levoyage_blog</t>
  </si>
  <si>
    <t xml:space="preserve">Moda, belleza y viajes — buen match con ocasión Viaje</t>
  </si>
  <si>
    <t xml:space="preserve">LL-INF-32</t>
  </si>
  <si>
    <t xml:space="preserve">Resumen de outreach</t>
  </si>
  <si>
    <t xml:space="preserve">Se actualiza solo con fórmulas a partir de la columna Estado en "Candidatos".</t>
  </si>
  <si>
    <t xml:space="preserve">Total candidatos en la lista</t>
  </si>
  <si>
    <t xml:space="preserve">Por buscar (faltan hasta 30)</t>
  </si>
  <si>
    <t xml:space="preserve">DM listas para enviar</t>
  </si>
  <si>
    <t xml:space="preserve">DM enviadas</t>
  </si>
  <si>
    <t xml:space="preserve">Respondieron</t>
  </si>
  <si>
    <t xml:space="preserve">Confirmaron canje</t>
  </si>
  <si>
    <t xml:space="preserve">Publicaron contenido</t>
  </si>
  <si>
    <t xml:space="preserve">Meta del trimestre (roadmap 3.4)</t>
  </si>
  <si>
    <t xml:space="preserve">8-12 colaboraciones</t>
  </si>
  <si>
    <t xml:space="preserve">DMs de canje — primeros 10, listos para copiar y pegar</t>
  </si>
  <si>
    <t xml:space="preserve">Completá [TU LINK] y [TU IG] una vez (celda B2) y se reflejan solos en los 10 mensajes.</t>
  </si>
  <si>
    <t xml:space="preserve">Link de la app (a completar):</t>
  </si>
  <si>
    <t xml:space="preserve">[TU LINK]</t>
  </si>
  <si>
    <t xml:space="preserve">Tu usuario de Instagram (a completar):</t>
  </si>
  <si>
    <t xml:space="preserve">[TU IG]</t>
  </si>
  <si>
    <t xml:space="preserve">Usuario</t>
  </si>
  <si>
    <t xml:space="preserve">Mensaje (copiar y pegar)</t>
  </si>
  <si>
    <t xml:space="preserve">Hola Karina! Soy [TU NOMBRE] de LookLab, una app que puntúa tu outfit con IA y tiene un jueguito de "adiviná el score" que a tu comunidad le va a encantar — porque vi que hacés asesoría de imagen y personal shopper, el desglose por categorías de LookLab le puede sumar contenido nuevo a tu contenido. Me encantaría regalarte acceso Pro de por vida y armar algo juntos (un reel con tu propio outfit y el reveal del score). Te dejo la app: [TU LINK] · seguime en [TU IG]. ¿Te muestro?</t>
  </si>
  <si>
    <t xml:space="preserve">Hola Leticia! Soy [TU NOMBRE] de LookLab, una app que puntúa tu outfit con IA y tiene un jueguito de "adiviná el score" que a tu comunidad le va a encantar — como personal shopper seguro tenés mil clientas con la duda de "¿esto me queda bien para tal ocasión?" — es literal lo que resuelve la app. Me encantaría regalarte acceso Pro de por vida y armar algo juntos (un reel con tu propio outfit y el reveal del score). Te dejo la app: [TU LINK] · seguime en [TU IG]. ¿Te muestro?</t>
  </si>
  <si>
    <t xml:space="preserve">Hola Arianna! Soy [TU NOMBRE] de LookLab, una app que puntúa tu outfit con IA y tiene un jueguito de "adiviná el score" que a tu comunidad le va a encantar — tu ojo de estilista es justo el tipo de mirada que quiero que compare con la IA. Me encantaría regalarte acceso Pro de por vida y armar algo juntos (un reel con tu propio outfit y el reveal del score). Te dejo la app: [TU LINK] · seguime en [TU IG]. ¿Te muestro?</t>
  </si>
  <si>
    <t xml:space="preserve">Hola Micaela! Soy [TU NOMBRE] de LookLab, una app que puntúa tu outfit con IA y tiene un jueguito de "adiviná el score" que a tu comunidad le va a encantar — vi que hacés styling y contenido — el juego de "adiviná el score" encaja perfecto con lo que ya compartís. Me encantaría regalarte acceso Pro de por vida y armar algo juntos (un reel con tu propio outfit y el reveal del score). Te dejo la app: [TU LINK] · seguime en [TU IG]. ¿Te muestro?</t>
  </si>
  <si>
    <t xml:space="preserve">Hola Luna! Soy [TU NOMBRE] de LookLab, una app que puntúa tu outfit con IA y tiene un jueguito de "adiviná el score" que a tu comunidad le va a encantar — tu contenido de moda es justo la vibra que buscamos para el juego de "adiviná el score". Me encantaría regalarte acceso Pro de por vida y armar algo juntos (un reel con tu propio outfit y el reveal del score). Te dejo la app: [TU LINK] · seguime en [TU IG]. ¿Te muestro?</t>
  </si>
  <si>
    <t xml:space="preserve">Hola Julieta! Soy [TU NOMBRE] de LookLab, una app que puntúa tu outfit con IA y tiene un jueguito de "adiviná el score" que a tu comunidad le va a encantar — vi tu trabajo de styling y contenido, creo que le puede gustar mucho a tu audiencia. Me encantaría regalarte acceso Pro de por vida y armar algo juntos (un reel con tu propio outfit y el reveal del score). Te dejo la app: [TU LINK] · seguime en [TU IG]. ¿Te muestro?</t>
  </si>
  <si>
    <t xml:space="preserve">Hola Classy! Soy [TU NOMBRE] de LookLab, una app que puntúa tu outfit con IA y tiene un jueguito de "adiviná el score" que a tu comunidad le va a encantar — tus outfits del día en Mendoza son justo el tipo de contenido que arma un buen "adiviná el score". Me encantaría regalarte acceso Pro de por vida y armar algo juntos (un reel con tu propio outfit y el reveal del score). Te dejo la app: [TU LINK] · seguime en [TU IG]. ¿Te muestro?</t>
  </si>
  <si>
    <t xml:space="preserve">Hola Mariana! Soy [TU NOMBRE] de LookLab, una app que puntúa tu outfit con IA y tiene un jueguito de "adiviná el score" que a tu comunidad le va a encantar — tu mirada sobre estilo y lifestyle es justo lo que buscamos para el juego de "adiviná el score". Me encantaría regalarte acceso Pro de por vida y armar algo juntos (un reel con tu propio outfit y el reveal del score). Te dejo la app: [TU LINK] · seguime en [TU IG]. ¿Te muestro?</t>
  </si>
  <si>
    <t xml:space="preserve">Hola Agostina! Soy [TU NOMBRE] de LookLab, una app que puntúa tu outfit con IA y tiene un jueguito de "adiviná el score" que a tu comunidad le va a encantar — como fashion stylist en Córdoba, el desglose por categorías de la IA te puede servir hasta de contenido. Me encantaría regalarte acceso Pro de por vida y armar algo juntos (un reel con tu propio outfit y el reveal del score). Te dejo la app: [TU LINK] · seguime en [TU IG]. ¿Te muestro?</t>
  </si>
  <si>
    <t xml:space="preserve">Hola Tomás! Soy [TU NOMBRE] de LookLab, una app que puntúa tu outfit con IA y tiene un jueguito de "adiviná el score" que a tu comunidad le va a encantar — tu trabajo de wardrobe styling es justo el tipo de ojo que quiero comparar con el de la IA. Me encantaría regalarte acceso Pro de por vida y armar algo juntos (un reel con tu propio outfit y el reveal del score). Te dejo la app: [TU LINK] · seguime en [TU IG]. ¿Te muestro?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</si>
</sst>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438"/>
      <name val="Arial"/>
      <family val="0"/>
      <charset val="1"/>
    </font>
    <font>
      <i val="true"/>
      <sz val="9"/>
      <color rgb="FF6B64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B2438"/>
        <bgColor rgb="FF333300"/>
      </patternFill>
    </fill>
    <fill>
      <patternFill patternType="solid">
        <fgColor rgb="FFE5F7EE"/>
        <bgColor rgb="FFEFE9FF"/>
      </patternFill>
    </fill>
    <fill>
      <patternFill patternType="solid">
        <fgColor rgb="FFFDF3DD"/>
        <bgColor rgb="FFFBE9E7"/>
      </patternFill>
    </fill>
    <fill>
      <patternFill patternType="solid">
        <fgColor rgb="FFFBE9E7"/>
        <bgColor rgb="FFFDF3DD"/>
      </patternFill>
    </fill>
    <fill>
      <patternFill patternType="solid">
        <fgColor rgb="FFFFF9C4"/>
        <bgColor rgb="FFFDF3DD"/>
      </patternFill>
    </fill>
    <fill>
      <patternFill patternType="solid">
        <fgColor rgb="FFEFE9FF"/>
        <bgColor rgb="FFE6E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3EE"/>
      </left>
      <right style="thin">
        <color rgb="FFE6E3EE"/>
      </right>
      <top style="thin">
        <color rgb="FFE6E3EE"/>
      </top>
      <bottom style="thin">
        <color rgb="FFE6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5F7EE"/>
      <rgbColor rgb="FF660066"/>
      <rgbColor rgb="FFFF8080"/>
      <rgbColor rgb="FF0066CC"/>
      <rgbColor rgb="FFE6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9FF"/>
      <rgbColor rgb="FFFBE9E7"/>
      <rgbColor rgb="FFFDF3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4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34"/>
  </cols>
  <sheetData>
    <row r="1" customFormat="false" ht="17.2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23.25" hidden="false" customHeight="true" outlineLevel="0" collapsed="false">
      <c r="A5" s="5" t="n">
        <v>1</v>
      </c>
      <c r="B5" s="6" t="s">
        <v>15</v>
      </c>
      <c r="C5" s="6" t="s">
        <v>16</v>
      </c>
      <c r="D5" s="5" t="s">
        <v>17</v>
      </c>
      <c r="E5" s="5" t="s">
        <v>18</v>
      </c>
      <c r="F5" s="6" t="s">
        <v>19</v>
      </c>
      <c r="G5" s="5" t="n">
        <v>33000</v>
      </c>
      <c r="H5" s="7" t="s">
        <v>20</v>
      </c>
      <c r="I5" s="6" t="s">
        <v>21</v>
      </c>
      <c r="J5" s="5" t="s">
        <v>22</v>
      </c>
      <c r="K5" s="5"/>
      <c r="L5" s="5" t="s">
        <v>23</v>
      </c>
      <c r="M5" s="6" t="s">
        <v>24</v>
      </c>
    </row>
    <row r="6" customFormat="false" ht="23.25" hidden="false" customHeight="true" outlineLevel="0" collapsed="false">
      <c r="A6" s="5" t="n">
        <v>2</v>
      </c>
      <c r="B6" s="6" t="s">
        <v>25</v>
      </c>
      <c r="C6" s="6" t="s">
        <v>26</v>
      </c>
      <c r="D6" s="5" t="s">
        <v>17</v>
      </c>
      <c r="E6" s="5" t="s">
        <v>27</v>
      </c>
      <c r="F6" s="6" t="s">
        <v>28</v>
      </c>
      <c r="G6" s="5" t="n">
        <v>52000</v>
      </c>
      <c r="H6" s="7" t="s">
        <v>20</v>
      </c>
      <c r="I6" s="6" t="s">
        <v>21</v>
      </c>
      <c r="J6" s="5" t="s">
        <v>22</v>
      </c>
      <c r="K6" s="5"/>
      <c r="L6" s="5" t="s">
        <v>29</v>
      </c>
      <c r="M6" s="6" t="s">
        <v>30</v>
      </c>
    </row>
    <row r="7" customFormat="false" ht="23.25" hidden="false" customHeight="true" outlineLevel="0" collapsed="false">
      <c r="A7" s="5" t="n">
        <v>3</v>
      </c>
      <c r="B7" s="6" t="s">
        <v>31</v>
      </c>
      <c r="C7" s="6" t="s">
        <v>32</v>
      </c>
      <c r="D7" s="5" t="s">
        <v>17</v>
      </c>
      <c r="E7" s="5" t="s">
        <v>27</v>
      </c>
      <c r="F7" s="6" t="s">
        <v>33</v>
      </c>
      <c r="G7" s="5" t="n">
        <v>12500</v>
      </c>
      <c r="H7" s="7" t="s">
        <v>20</v>
      </c>
      <c r="I7" s="6" t="s">
        <v>21</v>
      </c>
      <c r="J7" s="5" t="s">
        <v>22</v>
      </c>
      <c r="K7" s="5"/>
      <c r="L7" s="5" t="s">
        <v>34</v>
      </c>
      <c r="M7" s="6" t="s">
        <v>35</v>
      </c>
    </row>
    <row r="8" customFormat="false" ht="23.25" hidden="false" customHeight="true" outlineLevel="0" collapsed="false">
      <c r="A8" s="5" t="n">
        <v>4</v>
      </c>
      <c r="B8" s="6" t="s">
        <v>36</v>
      </c>
      <c r="C8" s="6" t="s">
        <v>37</v>
      </c>
      <c r="D8" s="5" t="s">
        <v>17</v>
      </c>
      <c r="E8" s="5" t="s">
        <v>27</v>
      </c>
      <c r="F8" s="6" t="s">
        <v>38</v>
      </c>
      <c r="G8" s="5" t="n">
        <v>10100</v>
      </c>
      <c r="H8" s="7" t="s">
        <v>20</v>
      </c>
      <c r="I8" s="6" t="s">
        <v>21</v>
      </c>
      <c r="J8" s="5" t="s">
        <v>22</v>
      </c>
      <c r="K8" s="5"/>
      <c r="L8" s="5" t="s">
        <v>39</v>
      </c>
      <c r="M8" s="6" t="s">
        <v>35</v>
      </c>
    </row>
    <row r="9" customFormat="false" ht="23.25" hidden="false" customHeight="true" outlineLevel="0" collapsed="false">
      <c r="A9" s="5" t="n">
        <v>5</v>
      </c>
      <c r="B9" s="6" t="s">
        <v>40</v>
      </c>
      <c r="C9" s="6" t="s">
        <v>41</v>
      </c>
      <c r="D9" s="5" t="s">
        <v>17</v>
      </c>
      <c r="E9" s="5" t="s">
        <v>27</v>
      </c>
      <c r="F9" s="6" t="s">
        <v>42</v>
      </c>
      <c r="G9" s="5" t="n">
        <v>5600</v>
      </c>
      <c r="H9" s="8" t="s">
        <v>43</v>
      </c>
      <c r="I9" s="6" t="s">
        <v>21</v>
      </c>
      <c r="J9" s="5" t="s">
        <v>22</v>
      </c>
      <c r="K9" s="5"/>
      <c r="L9" s="5" t="s">
        <v>44</v>
      </c>
      <c r="M9" s="6" t="s">
        <v>45</v>
      </c>
    </row>
    <row r="10" customFormat="false" ht="23.25" hidden="false" customHeight="true" outlineLevel="0" collapsed="false">
      <c r="A10" s="5" t="n">
        <v>6</v>
      </c>
      <c r="B10" s="6" t="s">
        <v>46</v>
      </c>
      <c r="C10" s="6" t="s">
        <v>47</v>
      </c>
      <c r="D10" s="5" t="s">
        <v>17</v>
      </c>
      <c r="E10" s="5" t="s">
        <v>27</v>
      </c>
      <c r="F10" s="6" t="s">
        <v>48</v>
      </c>
      <c r="G10" s="5" t="n">
        <v>3300</v>
      </c>
      <c r="H10" s="8" t="s">
        <v>43</v>
      </c>
      <c r="I10" s="6" t="s">
        <v>21</v>
      </c>
      <c r="J10" s="5" t="s">
        <v>22</v>
      </c>
      <c r="K10" s="5"/>
      <c r="L10" s="5" t="s">
        <v>49</v>
      </c>
      <c r="M10" s="6" t="s">
        <v>50</v>
      </c>
    </row>
    <row r="11" customFormat="false" ht="23.25" hidden="false" customHeight="true" outlineLevel="0" collapsed="false">
      <c r="A11" s="5" t="n">
        <v>7</v>
      </c>
      <c r="B11" s="6" t="s">
        <v>51</v>
      </c>
      <c r="C11" s="6" t="s">
        <v>52</v>
      </c>
      <c r="D11" s="5" t="s">
        <v>17</v>
      </c>
      <c r="E11" s="5" t="s">
        <v>27</v>
      </c>
      <c r="F11" s="6" t="s">
        <v>53</v>
      </c>
      <c r="G11" s="5" t="n">
        <v>2800</v>
      </c>
      <c r="H11" s="8" t="s">
        <v>43</v>
      </c>
      <c r="I11" s="6" t="s">
        <v>21</v>
      </c>
      <c r="J11" s="5" t="s">
        <v>22</v>
      </c>
      <c r="K11" s="5"/>
      <c r="L11" s="5" t="s">
        <v>54</v>
      </c>
      <c r="M11" s="6" t="s">
        <v>55</v>
      </c>
    </row>
    <row r="12" customFormat="false" ht="23.25" hidden="false" customHeight="true" outlineLevel="0" collapsed="false">
      <c r="A12" s="5" t="n">
        <v>8</v>
      </c>
      <c r="B12" s="6" t="s">
        <v>56</v>
      </c>
      <c r="C12" s="6" t="s">
        <v>57</v>
      </c>
      <c r="D12" s="5" t="s">
        <v>17</v>
      </c>
      <c r="E12" s="5" t="s">
        <v>58</v>
      </c>
      <c r="F12" s="6" t="s">
        <v>59</v>
      </c>
      <c r="G12" s="5" t="n">
        <v>11000</v>
      </c>
      <c r="H12" s="8" t="s">
        <v>43</v>
      </c>
      <c r="I12" s="6" t="s">
        <v>21</v>
      </c>
      <c r="J12" s="5" t="s">
        <v>22</v>
      </c>
      <c r="K12" s="5"/>
      <c r="L12" s="5" t="s">
        <v>60</v>
      </c>
      <c r="M12" s="6" t="s">
        <v>61</v>
      </c>
    </row>
    <row r="13" customFormat="false" ht="23.25" hidden="false" customHeight="true" outlineLevel="0" collapsed="false">
      <c r="A13" s="5" t="n">
        <v>9</v>
      </c>
      <c r="B13" s="6" t="s">
        <v>62</v>
      </c>
      <c r="C13" s="6" t="s">
        <v>63</v>
      </c>
      <c r="D13" s="5" t="s">
        <v>17</v>
      </c>
      <c r="E13" s="5" t="s">
        <v>64</v>
      </c>
      <c r="F13" s="6" t="s">
        <v>65</v>
      </c>
      <c r="G13" s="5" t="n">
        <v>16900</v>
      </c>
      <c r="H13" s="8" t="s">
        <v>43</v>
      </c>
      <c r="I13" s="6" t="s">
        <v>21</v>
      </c>
      <c r="J13" s="5" t="s">
        <v>22</v>
      </c>
      <c r="K13" s="5"/>
      <c r="L13" s="5" t="s">
        <v>66</v>
      </c>
      <c r="M13" s="6" t="s">
        <v>67</v>
      </c>
    </row>
    <row r="14" customFormat="false" ht="23.25" hidden="false" customHeight="true" outlineLevel="0" collapsed="false">
      <c r="A14" s="5" t="n">
        <v>10</v>
      </c>
      <c r="B14" s="6" t="s">
        <v>68</v>
      </c>
      <c r="C14" s="6" t="s">
        <v>63</v>
      </c>
      <c r="D14" s="5" t="s">
        <v>17</v>
      </c>
      <c r="E14" s="5" t="s">
        <v>27</v>
      </c>
      <c r="F14" s="6" t="s">
        <v>69</v>
      </c>
      <c r="G14" s="5" t="n">
        <v>28600</v>
      </c>
      <c r="H14" s="8" t="s">
        <v>43</v>
      </c>
      <c r="I14" s="6" t="s">
        <v>21</v>
      </c>
      <c r="J14" s="5" t="s">
        <v>22</v>
      </c>
      <c r="K14" s="5"/>
      <c r="L14" s="5" t="s">
        <v>70</v>
      </c>
      <c r="M14" s="6" t="s">
        <v>71</v>
      </c>
    </row>
    <row r="15" customFormat="false" ht="23.25" hidden="false" customHeight="true" outlineLevel="0" collapsed="false">
      <c r="A15" s="5" t="n">
        <v>11</v>
      </c>
      <c r="B15" s="6" t="s">
        <v>72</v>
      </c>
      <c r="C15" s="6" t="s">
        <v>73</v>
      </c>
      <c r="D15" s="5" t="s">
        <v>17</v>
      </c>
      <c r="E15" s="5" t="s">
        <v>74</v>
      </c>
      <c r="F15" s="6" t="s">
        <v>75</v>
      </c>
      <c r="G15" s="5" t="n">
        <v>15000</v>
      </c>
      <c r="H15" s="7" t="s">
        <v>20</v>
      </c>
      <c r="I15" s="6" t="s">
        <v>21</v>
      </c>
      <c r="J15" s="5" t="s">
        <v>76</v>
      </c>
      <c r="K15" s="5"/>
      <c r="L15" s="5" t="s">
        <v>77</v>
      </c>
      <c r="M15" s="6" t="s">
        <v>78</v>
      </c>
    </row>
    <row r="16" customFormat="false" ht="23.25" hidden="false" customHeight="true" outlineLevel="0" collapsed="false">
      <c r="A16" s="5" t="n">
        <v>12</v>
      </c>
      <c r="B16" s="6" t="s">
        <v>79</v>
      </c>
      <c r="C16" s="6" t="s">
        <v>80</v>
      </c>
      <c r="D16" s="5" t="s">
        <v>17</v>
      </c>
      <c r="E16" s="5" t="s">
        <v>74</v>
      </c>
      <c r="F16" s="6" t="s">
        <v>81</v>
      </c>
      <c r="G16" s="5" t="n">
        <v>56000</v>
      </c>
      <c r="H16" s="7" t="s">
        <v>20</v>
      </c>
      <c r="I16" s="6" t="s">
        <v>21</v>
      </c>
      <c r="J16" s="5" t="s">
        <v>76</v>
      </c>
      <c r="K16" s="5"/>
      <c r="L16" s="5" t="s">
        <v>82</v>
      </c>
      <c r="M16" s="6" t="s">
        <v>83</v>
      </c>
    </row>
    <row r="17" customFormat="false" ht="23.25" hidden="false" customHeight="true" outlineLevel="0" collapsed="false">
      <c r="A17" s="5" t="n">
        <v>13</v>
      </c>
      <c r="B17" s="6" t="s">
        <v>84</v>
      </c>
      <c r="C17" s="6" t="s">
        <v>63</v>
      </c>
      <c r="D17" s="5" t="s">
        <v>17</v>
      </c>
      <c r="E17" s="5" t="s">
        <v>85</v>
      </c>
      <c r="F17" s="6" t="s">
        <v>86</v>
      </c>
      <c r="G17" s="5" t="n">
        <v>15000</v>
      </c>
      <c r="H17" s="8" t="s">
        <v>43</v>
      </c>
      <c r="I17" s="6" t="s">
        <v>21</v>
      </c>
      <c r="J17" s="5" t="s">
        <v>76</v>
      </c>
      <c r="K17" s="5"/>
      <c r="L17" s="5" t="s">
        <v>87</v>
      </c>
      <c r="M17" s="6" t="s">
        <v>88</v>
      </c>
    </row>
    <row r="18" customFormat="false" ht="23.25" hidden="false" customHeight="true" outlineLevel="0" collapsed="false">
      <c r="A18" s="5" t="n">
        <v>14</v>
      </c>
      <c r="B18" s="6" t="s">
        <v>89</v>
      </c>
      <c r="C18" s="6" t="s">
        <v>90</v>
      </c>
      <c r="D18" s="5" t="s">
        <v>91</v>
      </c>
      <c r="E18" s="5" t="s">
        <v>85</v>
      </c>
      <c r="F18" s="6" t="s">
        <v>92</v>
      </c>
      <c r="G18" s="5" t="s">
        <v>93</v>
      </c>
      <c r="H18" s="9" t="s">
        <v>94</v>
      </c>
      <c r="I18" s="6" t="s">
        <v>21</v>
      </c>
      <c r="J18" s="5" t="s">
        <v>76</v>
      </c>
      <c r="K18" s="5"/>
      <c r="L18" s="5" t="s">
        <v>95</v>
      </c>
      <c r="M18" s="6" t="s">
        <v>96</v>
      </c>
    </row>
    <row r="19" customFormat="false" ht="23.25" hidden="false" customHeight="true" outlineLevel="0" collapsed="false">
      <c r="A19" s="5" t="n">
        <v>15</v>
      </c>
      <c r="B19" s="6" t="s">
        <v>97</v>
      </c>
      <c r="C19" s="6" t="s">
        <v>90</v>
      </c>
      <c r="D19" s="5" t="s">
        <v>91</v>
      </c>
      <c r="E19" s="5" t="s">
        <v>27</v>
      </c>
      <c r="F19" s="6" t="s">
        <v>98</v>
      </c>
      <c r="G19" s="5" t="s">
        <v>93</v>
      </c>
      <c r="H19" s="9" t="s">
        <v>94</v>
      </c>
      <c r="I19" s="6" t="s">
        <v>21</v>
      </c>
      <c r="J19" s="5" t="s">
        <v>76</v>
      </c>
      <c r="K19" s="5"/>
      <c r="L19" s="5" t="s">
        <v>99</v>
      </c>
      <c r="M19" s="6" t="s">
        <v>96</v>
      </c>
    </row>
    <row r="20" customFormat="false" ht="23.25" hidden="false" customHeight="true" outlineLevel="0" collapsed="false">
      <c r="A20" s="5" t="n">
        <v>16</v>
      </c>
      <c r="B20" s="6" t="s">
        <v>100</v>
      </c>
      <c r="C20" s="6" t="s">
        <v>90</v>
      </c>
      <c r="D20" s="5" t="s">
        <v>91</v>
      </c>
      <c r="E20" s="5" t="s">
        <v>85</v>
      </c>
      <c r="F20" s="6" t="s">
        <v>101</v>
      </c>
      <c r="G20" s="5" t="s">
        <v>93</v>
      </c>
      <c r="H20" s="9" t="s">
        <v>94</v>
      </c>
      <c r="I20" s="6" t="s">
        <v>21</v>
      </c>
      <c r="J20" s="5" t="s">
        <v>76</v>
      </c>
      <c r="K20" s="5"/>
      <c r="L20" s="5" t="s">
        <v>102</v>
      </c>
      <c r="M20" s="6" t="s">
        <v>96</v>
      </c>
    </row>
    <row r="21" customFormat="false" ht="23.25" hidden="false" customHeight="true" outlineLevel="0" collapsed="false">
      <c r="A21" s="5" t="n">
        <v>17</v>
      </c>
      <c r="B21" s="6" t="s">
        <v>103</v>
      </c>
      <c r="C21" s="6" t="s">
        <v>103</v>
      </c>
      <c r="D21" s="5" t="s">
        <v>91</v>
      </c>
      <c r="E21" s="5" t="s">
        <v>85</v>
      </c>
      <c r="F21" s="6" t="s">
        <v>104</v>
      </c>
      <c r="G21" s="5" t="s">
        <v>93</v>
      </c>
      <c r="H21" s="9" t="s">
        <v>94</v>
      </c>
      <c r="I21" s="6" t="s">
        <v>21</v>
      </c>
      <c r="J21" s="5" t="s">
        <v>76</v>
      </c>
      <c r="K21" s="5"/>
      <c r="L21" s="5" t="s">
        <v>105</v>
      </c>
      <c r="M21" s="6" t="s">
        <v>106</v>
      </c>
    </row>
    <row r="22" customFormat="false" ht="23.25" hidden="false" customHeight="true" outlineLevel="0" collapsed="false">
      <c r="A22" s="5" t="n">
        <v>18</v>
      </c>
      <c r="B22" s="6" t="s">
        <v>107</v>
      </c>
      <c r="C22" s="6" t="s">
        <v>107</v>
      </c>
      <c r="D22" s="5" t="s">
        <v>91</v>
      </c>
      <c r="E22" s="5" t="s">
        <v>85</v>
      </c>
      <c r="F22" s="6" t="s">
        <v>108</v>
      </c>
      <c r="G22" s="5" t="s">
        <v>93</v>
      </c>
      <c r="H22" s="9" t="s">
        <v>94</v>
      </c>
      <c r="I22" s="6" t="s">
        <v>21</v>
      </c>
      <c r="J22" s="5" t="s">
        <v>76</v>
      </c>
      <c r="K22" s="5"/>
      <c r="L22" s="5" t="s">
        <v>109</v>
      </c>
      <c r="M22" s="6" t="s">
        <v>106</v>
      </c>
    </row>
    <row r="23" customFormat="false" ht="23.25" hidden="false" customHeight="true" outlineLevel="0" collapsed="false">
      <c r="A23" s="5" t="n">
        <v>19</v>
      </c>
      <c r="B23" s="6" t="s">
        <v>110</v>
      </c>
      <c r="C23" s="6" t="s">
        <v>110</v>
      </c>
      <c r="D23" s="5" t="s">
        <v>91</v>
      </c>
      <c r="E23" s="5" t="s">
        <v>85</v>
      </c>
      <c r="F23" s="6" t="s">
        <v>111</v>
      </c>
      <c r="G23" s="5" t="s">
        <v>93</v>
      </c>
      <c r="H23" s="9" t="s">
        <v>94</v>
      </c>
      <c r="I23" s="6" t="s">
        <v>21</v>
      </c>
      <c r="J23" s="5" t="s">
        <v>76</v>
      </c>
      <c r="K23" s="5"/>
      <c r="L23" s="5" t="s">
        <v>112</v>
      </c>
      <c r="M23" s="6" t="s">
        <v>106</v>
      </c>
    </row>
    <row r="24" customFormat="false" ht="23.25" hidden="false" customHeight="true" outlineLevel="0" collapsed="false">
      <c r="A24" s="5" t="n">
        <v>20</v>
      </c>
      <c r="B24" s="6" t="s">
        <v>113</v>
      </c>
      <c r="C24" s="6" t="s">
        <v>113</v>
      </c>
      <c r="D24" s="5" t="s">
        <v>91</v>
      </c>
      <c r="E24" s="5" t="s">
        <v>85</v>
      </c>
      <c r="F24" s="6" t="s">
        <v>111</v>
      </c>
      <c r="G24" s="5" t="s">
        <v>93</v>
      </c>
      <c r="H24" s="9" t="s">
        <v>94</v>
      </c>
      <c r="I24" s="6" t="s">
        <v>21</v>
      </c>
      <c r="J24" s="5" t="s">
        <v>76</v>
      </c>
      <c r="K24" s="5"/>
      <c r="L24" s="5" t="s">
        <v>114</v>
      </c>
      <c r="M24" s="6" t="s">
        <v>106</v>
      </c>
    </row>
    <row r="25" customFormat="false" ht="23.25" hidden="false" customHeight="true" outlineLevel="0" collapsed="false">
      <c r="A25" s="5" t="n">
        <v>21</v>
      </c>
      <c r="B25" s="6" t="s">
        <v>115</v>
      </c>
      <c r="C25" s="6" t="s">
        <v>115</v>
      </c>
      <c r="D25" s="5" t="s">
        <v>91</v>
      </c>
      <c r="E25" s="5" t="s">
        <v>85</v>
      </c>
      <c r="F25" s="6" t="s">
        <v>116</v>
      </c>
      <c r="G25" s="5" t="s">
        <v>93</v>
      </c>
      <c r="H25" s="9" t="s">
        <v>94</v>
      </c>
      <c r="I25" s="6" t="s">
        <v>21</v>
      </c>
      <c r="J25" s="5" t="s">
        <v>76</v>
      </c>
      <c r="K25" s="5"/>
      <c r="L25" s="5" t="s">
        <v>117</v>
      </c>
      <c r="M25" s="6" t="s">
        <v>106</v>
      </c>
    </row>
    <row r="26" customFormat="false" ht="15" hidden="false" customHeight="true" outlineLevel="0" collapsed="false">
      <c r="A26" s="5" t="n">
        <v>22</v>
      </c>
      <c r="B26" s="6" t="s">
        <v>118</v>
      </c>
      <c r="C26" s="6" t="s">
        <v>119</v>
      </c>
      <c r="D26" s="5" t="s">
        <v>17</v>
      </c>
      <c r="E26" s="5" t="s">
        <v>85</v>
      </c>
      <c r="F26" s="6" t="s">
        <v>120</v>
      </c>
      <c r="G26" s="5" t="n">
        <v>8670</v>
      </c>
      <c r="H26" s="7" t="s">
        <v>20</v>
      </c>
      <c r="I26" s="6" t="s">
        <v>21</v>
      </c>
      <c r="J26" s="5" t="s">
        <v>76</v>
      </c>
      <c r="K26" s="5"/>
      <c r="L26" s="5" t="s">
        <v>121</v>
      </c>
      <c r="M26" s="6" t="s">
        <v>35</v>
      </c>
    </row>
    <row r="27" customFormat="false" ht="15" hidden="false" customHeight="true" outlineLevel="0" collapsed="false">
      <c r="A27" s="5" t="n">
        <v>23</v>
      </c>
      <c r="B27" s="6" t="s">
        <v>122</v>
      </c>
      <c r="C27" s="6" t="s">
        <v>123</v>
      </c>
      <c r="D27" s="5" t="s">
        <v>17</v>
      </c>
      <c r="E27" s="5" t="s">
        <v>124</v>
      </c>
      <c r="F27" s="6" t="s">
        <v>125</v>
      </c>
      <c r="G27" s="5" t="n">
        <v>5070</v>
      </c>
      <c r="H27" s="7" t="s">
        <v>20</v>
      </c>
      <c r="I27" s="6" t="s">
        <v>21</v>
      </c>
      <c r="J27" s="5" t="s">
        <v>76</v>
      </c>
      <c r="K27" s="5"/>
      <c r="L27" s="5" t="s">
        <v>126</v>
      </c>
      <c r="M27" s="6" t="s">
        <v>35</v>
      </c>
    </row>
    <row r="28" customFormat="false" ht="15" hidden="false" customHeight="true" outlineLevel="0" collapsed="false">
      <c r="A28" s="5" t="n">
        <v>24</v>
      </c>
      <c r="B28" s="6" t="s">
        <v>127</v>
      </c>
      <c r="C28" s="6" t="s">
        <v>128</v>
      </c>
      <c r="D28" s="5" t="s">
        <v>17</v>
      </c>
      <c r="E28" s="5" t="s">
        <v>85</v>
      </c>
      <c r="F28" s="6" t="s">
        <v>129</v>
      </c>
      <c r="G28" s="5" t="n">
        <v>36000</v>
      </c>
      <c r="H28" s="7" t="s">
        <v>20</v>
      </c>
      <c r="I28" s="6" t="s">
        <v>21</v>
      </c>
      <c r="J28" s="5" t="s">
        <v>76</v>
      </c>
      <c r="K28" s="5"/>
      <c r="L28" s="5" t="s">
        <v>130</v>
      </c>
      <c r="M28" s="6" t="s">
        <v>35</v>
      </c>
    </row>
    <row r="29" customFormat="false" ht="15" hidden="false" customHeight="true" outlineLevel="0" collapsed="false">
      <c r="A29" s="5" t="n">
        <v>25</v>
      </c>
      <c r="B29" s="6" t="s">
        <v>131</v>
      </c>
      <c r="C29" s="6" t="s">
        <v>132</v>
      </c>
      <c r="D29" s="5" t="s">
        <v>17</v>
      </c>
      <c r="E29" s="5" t="s">
        <v>85</v>
      </c>
      <c r="F29" s="6" t="s">
        <v>133</v>
      </c>
      <c r="G29" s="5" t="n">
        <v>4000</v>
      </c>
      <c r="H29" s="7" t="s">
        <v>20</v>
      </c>
      <c r="I29" s="6" t="s">
        <v>21</v>
      </c>
      <c r="J29" s="5" t="s">
        <v>76</v>
      </c>
      <c r="K29" s="5"/>
      <c r="L29" s="5" t="s">
        <v>134</v>
      </c>
      <c r="M29" s="6" t="s">
        <v>35</v>
      </c>
    </row>
    <row r="30" customFormat="false" ht="15" hidden="false" customHeight="true" outlineLevel="0" collapsed="false">
      <c r="A30" s="5" t="n">
        <v>26</v>
      </c>
      <c r="B30" s="6" t="s">
        <v>135</v>
      </c>
      <c r="C30" s="6" t="s">
        <v>136</v>
      </c>
      <c r="D30" s="5" t="s">
        <v>17</v>
      </c>
      <c r="E30" s="5" t="s">
        <v>85</v>
      </c>
      <c r="F30" s="6" t="s">
        <v>137</v>
      </c>
      <c r="G30" s="5" t="n">
        <v>9613</v>
      </c>
      <c r="H30" s="7" t="s">
        <v>20</v>
      </c>
      <c r="I30" s="6" t="s">
        <v>21</v>
      </c>
      <c r="J30" s="5" t="s">
        <v>76</v>
      </c>
      <c r="K30" s="5"/>
      <c r="L30" s="5" t="s">
        <v>138</v>
      </c>
      <c r="M30" s="6" t="s">
        <v>35</v>
      </c>
    </row>
    <row r="31" customFormat="false" ht="15" hidden="false" customHeight="true" outlineLevel="0" collapsed="false">
      <c r="A31" s="5" t="n">
        <v>27</v>
      </c>
      <c r="B31" s="6" t="s">
        <v>139</v>
      </c>
      <c r="C31" s="6" t="s">
        <v>140</v>
      </c>
      <c r="D31" s="5" t="s">
        <v>17</v>
      </c>
      <c r="E31" s="5" t="s">
        <v>85</v>
      </c>
      <c r="F31" s="6" t="s">
        <v>141</v>
      </c>
      <c r="G31" s="5" t="n">
        <v>2540</v>
      </c>
      <c r="H31" s="7" t="s">
        <v>20</v>
      </c>
      <c r="I31" s="6" t="s">
        <v>21</v>
      </c>
      <c r="J31" s="5" t="s">
        <v>76</v>
      </c>
      <c r="K31" s="5"/>
      <c r="L31" s="5" t="s">
        <v>142</v>
      </c>
      <c r="M31" s="6" t="s">
        <v>35</v>
      </c>
    </row>
    <row r="32" customFormat="false" ht="15" hidden="false" customHeight="true" outlineLevel="0" collapsed="false">
      <c r="A32" s="5" t="n">
        <v>28</v>
      </c>
      <c r="B32" s="6" t="s">
        <v>143</v>
      </c>
      <c r="C32" s="6" t="s">
        <v>144</v>
      </c>
      <c r="D32" s="5" t="s">
        <v>17</v>
      </c>
      <c r="E32" s="5" t="s">
        <v>85</v>
      </c>
      <c r="F32" s="6" t="s">
        <v>120</v>
      </c>
      <c r="G32" s="5" t="s">
        <v>93</v>
      </c>
      <c r="H32" s="8" t="s">
        <v>43</v>
      </c>
      <c r="I32" s="6" t="s">
        <v>21</v>
      </c>
      <c r="J32" s="5" t="s">
        <v>76</v>
      </c>
      <c r="K32" s="5"/>
      <c r="L32" s="5" t="s">
        <v>145</v>
      </c>
      <c r="M32" s="6" t="s">
        <v>146</v>
      </c>
    </row>
    <row r="33" customFormat="false" ht="15" hidden="false" customHeight="true" outlineLevel="0" collapsed="false">
      <c r="A33" s="5" t="n">
        <v>29</v>
      </c>
      <c r="B33" s="6" t="s">
        <v>147</v>
      </c>
      <c r="C33" s="6" t="s">
        <v>148</v>
      </c>
      <c r="D33" s="5" t="s">
        <v>17</v>
      </c>
      <c r="E33" s="5" t="s">
        <v>85</v>
      </c>
      <c r="F33" s="6" t="s">
        <v>149</v>
      </c>
      <c r="G33" s="5" t="s">
        <v>93</v>
      </c>
      <c r="H33" s="8" t="s">
        <v>43</v>
      </c>
      <c r="I33" s="6" t="s">
        <v>21</v>
      </c>
      <c r="J33" s="5" t="s">
        <v>76</v>
      </c>
      <c r="K33" s="5"/>
      <c r="L33" s="5" t="s">
        <v>150</v>
      </c>
      <c r="M33" s="6" t="s">
        <v>146</v>
      </c>
    </row>
    <row r="34" customFormat="false" ht="15" hidden="false" customHeight="true" outlineLevel="0" collapsed="false">
      <c r="A34" s="5" t="n">
        <v>30</v>
      </c>
      <c r="B34" s="6" t="s">
        <v>151</v>
      </c>
      <c r="C34" s="6" t="s">
        <v>152</v>
      </c>
      <c r="D34" s="5" t="s">
        <v>17</v>
      </c>
      <c r="E34" s="5" t="s">
        <v>85</v>
      </c>
      <c r="F34" s="6" t="s">
        <v>153</v>
      </c>
      <c r="G34" s="5" t="s">
        <v>93</v>
      </c>
      <c r="H34" s="8" t="s">
        <v>43</v>
      </c>
      <c r="I34" s="6" t="s">
        <v>21</v>
      </c>
      <c r="J34" s="5" t="s">
        <v>76</v>
      </c>
      <c r="K34" s="5"/>
      <c r="L34" s="5" t="s">
        <v>154</v>
      </c>
      <c r="M34" s="6" t="s">
        <v>146</v>
      </c>
    </row>
    <row r="35" customFormat="false" ht="23.85" hidden="false" customHeight="false" outlineLevel="0" collapsed="false">
      <c r="A35" s="5" t="n">
        <v>31</v>
      </c>
      <c r="B35" s="6" t="s">
        <v>155</v>
      </c>
      <c r="C35" s="6" t="s">
        <v>156</v>
      </c>
      <c r="D35" s="5" t="s">
        <v>17</v>
      </c>
      <c r="E35" s="5" t="s">
        <v>85</v>
      </c>
      <c r="F35" s="6" t="s">
        <v>157</v>
      </c>
      <c r="G35" s="5" t="s">
        <v>93</v>
      </c>
      <c r="H35" s="9" t="s">
        <v>94</v>
      </c>
      <c r="I35" s="6" t="s">
        <v>21</v>
      </c>
      <c r="J35" s="5" t="s">
        <v>76</v>
      </c>
      <c r="K35" s="5"/>
      <c r="L35" s="5" t="s">
        <v>158</v>
      </c>
      <c r="M35" s="6" t="s">
        <v>159</v>
      </c>
    </row>
    <row r="36" customFormat="false" ht="23.85" hidden="false" customHeight="false" outlineLevel="0" collapsed="false">
      <c r="A36" s="5" t="n">
        <v>32</v>
      </c>
      <c r="B36" s="6" t="s">
        <v>160</v>
      </c>
      <c r="C36" s="6" t="s">
        <v>161</v>
      </c>
      <c r="D36" s="5" t="s">
        <v>17</v>
      </c>
      <c r="E36" s="5" t="s">
        <v>27</v>
      </c>
      <c r="F36" s="6" t="s">
        <v>162</v>
      </c>
      <c r="G36" s="5" t="s">
        <v>93</v>
      </c>
      <c r="H36" s="8" t="s">
        <v>43</v>
      </c>
      <c r="I36" s="6" t="s">
        <v>21</v>
      </c>
      <c r="J36" s="5" t="s">
        <v>76</v>
      </c>
      <c r="K36" s="5"/>
      <c r="L36" s="5" t="s">
        <v>163</v>
      </c>
      <c r="M36" s="6" t="s">
        <v>146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</cols>
  <sheetData>
    <row r="1" customFormat="false" ht="17.25" hidden="false" customHeight="true" outlineLevel="0" collapsed="false">
      <c r="A1" s="2" t="s">
        <v>164</v>
      </c>
    </row>
    <row r="2" customFormat="false" ht="15" hidden="false" customHeight="true" outlineLevel="0" collapsed="false">
      <c r="A2" s="10" t="s">
        <v>165</v>
      </c>
      <c r="B2" s="10"/>
    </row>
    <row r="4" customFormat="false" ht="15" hidden="false" customHeight="true" outlineLevel="0" collapsed="false">
      <c r="A4" s="11" t="s">
        <v>166</v>
      </c>
      <c r="B4" s="12" t="n">
        <f aca="false">COUNTA(Candidatos!B5:B36)-COUNTIF(Candidatos!B5:B36,"(a completar)")</f>
        <v>32</v>
      </c>
    </row>
    <row r="5" customFormat="false" ht="15" hidden="false" customHeight="true" outlineLevel="0" collapsed="false">
      <c r="A5" s="11" t="s">
        <v>167</v>
      </c>
      <c r="B5" s="12" t="n">
        <f aca="false">COUNTIF(Candidatos!J5:J36,"Por buscar")</f>
        <v>0</v>
      </c>
    </row>
    <row r="6" customFormat="false" ht="15" hidden="false" customHeight="true" outlineLevel="0" collapsed="false">
      <c r="A6" s="11" t="s">
        <v>168</v>
      </c>
      <c r="B6" s="12" t="n">
        <f aca="false">COUNTIF(Candidatos!J5:J36,"DM lista para enviar")</f>
        <v>10</v>
      </c>
    </row>
    <row r="7" customFormat="false" ht="15" hidden="false" customHeight="true" outlineLevel="0" collapsed="false">
      <c r="A7" s="11" t="s">
        <v>169</v>
      </c>
      <c r="B7" s="12" t="n">
        <f aca="false">COUNTIF(Candidatos!J5:J36,"DM enviado")</f>
        <v>0</v>
      </c>
    </row>
    <row r="8" customFormat="false" ht="15" hidden="false" customHeight="true" outlineLevel="0" collapsed="false">
      <c r="A8" s="11" t="s">
        <v>170</v>
      </c>
      <c r="B8" s="12" t="n">
        <f aca="false">COUNTIF(Candidatos!J5:J36,"Respondió")</f>
        <v>0</v>
      </c>
    </row>
    <row r="9" customFormat="false" ht="15" hidden="false" customHeight="true" outlineLevel="0" collapsed="false">
      <c r="A9" s="11" t="s">
        <v>171</v>
      </c>
      <c r="B9" s="12" t="n">
        <f aca="false">COUNTIF(Candidatos!J5:J36,"Confirmado")</f>
        <v>0</v>
      </c>
    </row>
    <row r="10" customFormat="false" ht="15" hidden="false" customHeight="true" outlineLevel="0" collapsed="false">
      <c r="A10" s="11" t="s">
        <v>172</v>
      </c>
      <c r="B10" s="12" t="n">
        <f aca="false">COUNTIF(Candidatos!J5:J36,"Publicó")</f>
        <v>0</v>
      </c>
    </row>
    <row r="11" customFormat="false" ht="15" hidden="false" customHeight="true" outlineLevel="0" collapsed="false">
      <c r="A11" s="11" t="s">
        <v>173</v>
      </c>
      <c r="B11" s="13" t="s">
        <v>174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90"/>
  </cols>
  <sheetData>
    <row r="1" customFormat="false" ht="17.25" hidden="false" customHeight="true" outlineLevel="0" collapsed="false">
      <c r="A1" s="2" t="s">
        <v>175</v>
      </c>
    </row>
    <row r="2" customFormat="false" ht="15" hidden="false" customHeight="true" outlineLevel="0" collapsed="false">
      <c r="A2" s="10" t="s">
        <v>176</v>
      </c>
      <c r="B2" s="10"/>
      <c r="C2" s="10"/>
    </row>
    <row r="4" customFormat="false" ht="15" hidden="false" customHeight="true" outlineLevel="0" collapsed="false">
      <c r="A4" s="14" t="s">
        <v>177</v>
      </c>
      <c r="B4" s="15" t="s">
        <v>178</v>
      </c>
    </row>
    <row r="5" customFormat="false" ht="15" hidden="false" customHeight="true" outlineLevel="0" collapsed="false">
      <c r="A5" s="14" t="s">
        <v>179</v>
      </c>
      <c r="B5" s="15" t="s">
        <v>180</v>
      </c>
    </row>
    <row r="7" customFormat="false" ht="15" hidden="false" customHeight="true" outlineLevel="0" collapsed="false">
      <c r="A7" s="4" t="s">
        <v>2</v>
      </c>
      <c r="B7" s="4" t="s">
        <v>3</v>
      </c>
      <c r="C7" s="4" t="s">
        <v>181</v>
      </c>
      <c r="D7" s="4" t="s">
        <v>182</v>
      </c>
    </row>
    <row r="8" customFormat="false" ht="60" hidden="false" customHeight="true" outlineLevel="0" collapsed="false">
      <c r="A8" s="16" t="n">
        <v>1</v>
      </c>
      <c r="B8" s="16" t="s">
        <v>15</v>
      </c>
      <c r="C8" s="16" t="s">
        <v>16</v>
      </c>
      <c r="D8" s="17" t="s">
        <v>183</v>
      </c>
    </row>
    <row r="9" customFormat="false" ht="60" hidden="false" customHeight="true" outlineLevel="0" collapsed="false">
      <c r="A9" s="16" t="n">
        <v>2</v>
      </c>
      <c r="B9" s="16" t="s">
        <v>25</v>
      </c>
      <c r="C9" s="16" t="s">
        <v>26</v>
      </c>
      <c r="D9" s="17" t="s">
        <v>184</v>
      </c>
    </row>
    <row r="10" customFormat="false" ht="60" hidden="false" customHeight="true" outlineLevel="0" collapsed="false">
      <c r="A10" s="16" t="n">
        <v>3</v>
      </c>
      <c r="B10" s="16" t="s">
        <v>31</v>
      </c>
      <c r="C10" s="16" t="s">
        <v>32</v>
      </c>
      <c r="D10" s="17" t="s">
        <v>185</v>
      </c>
    </row>
    <row r="11" customFormat="false" ht="60" hidden="false" customHeight="true" outlineLevel="0" collapsed="false">
      <c r="A11" s="16" t="n">
        <v>4</v>
      </c>
      <c r="B11" s="16" t="s">
        <v>36</v>
      </c>
      <c r="C11" s="16" t="s">
        <v>37</v>
      </c>
      <c r="D11" s="17" t="s">
        <v>186</v>
      </c>
    </row>
    <row r="12" customFormat="false" ht="60" hidden="false" customHeight="true" outlineLevel="0" collapsed="false">
      <c r="A12" s="16" t="n">
        <v>5</v>
      </c>
      <c r="B12" s="16" t="s">
        <v>40</v>
      </c>
      <c r="C12" s="16" t="s">
        <v>41</v>
      </c>
      <c r="D12" s="17" t="s">
        <v>187</v>
      </c>
    </row>
    <row r="13" customFormat="false" ht="60" hidden="false" customHeight="true" outlineLevel="0" collapsed="false">
      <c r="A13" s="16" t="n">
        <v>6</v>
      </c>
      <c r="B13" s="16" t="s">
        <v>46</v>
      </c>
      <c r="C13" s="16" t="s">
        <v>47</v>
      </c>
      <c r="D13" s="17" t="s">
        <v>188</v>
      </c>
    </row>
    <row r="14" customFormat="false" ht="60" hidden="false" customHeight="true" outlineLevel="0" collapsed="false">
      <c r="A14" s="16" t="n">
        <v>7</v>
      </c>
      <c r="B14" s="16" t="s">
        <v>51</v>
      </c>
      <c r="C14" s="16" t="s">
        <v>52</v>
      </c>
      <c r="D14" s="17" t="s">
        <v>189</v>
      </c>
    </row>
    <row r="15" customFormat="false" ht="60" hidden="false" customHeight="true" outlineLevel="0" collapsed="false">
      <c r="A15" s="16" t="n">
        <v>8</v>
      </c>
      <c r="B15" s="16" t="s">
        <v>56</v>
      </c>
      <c r="C15" s="16" t="s">
        <v>57</v>
      </c>
      <c r="D15" s="17" t="s">
        <v>190</v>
      </c>
    </row>
    <row r="16" customFormat="false" ht="60" hidden="false" customHeight="true" outlineLevel="0" collapsed="false">
      <c r="A16" s="16" t="n">
        <v>9</v>
      </c>
      <c r="B16" s="16" t="s">
        <v>62</v>
      </c>
      <c r="C16" s="16" t="s">
        <v>63</v>
      </c>
      <c r="D16" s="17" t="s">
        <v>191</v>
      </c>
    </row>
    <row r="17" customFormat="false" ht="60" hidden="false" customHeight="true" outlineLevel="0" collapsed="false">
      <c r="A17" s="16" t="n">
        <v>10</v>
      </c>
      <c r="B17" s="16" t="s">
        <v>68</v>
      </c>
      <c r="C17" s="16" t="s">
        <v>63</v>
      </c>
      <c r="D17" s="17" t="s">
        <v>192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2026-07-13T20:20:46Z</dcterms:created>
  <dc:creator>openpyxl</dc:creator>
  <dc:description/>
  <dc:language>en-US</dc:language>
  <cp:lastModifiedBy/>
  <dcterms:modified xsi:type="dcterms:W3CDTF">2026-07-13T20:28:57Z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